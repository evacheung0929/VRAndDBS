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evacheung/Documents/Year 3/"/>
    </mc:Choice>
  </mc:AlternateContent>
  <xr:revisionPtr revIDLastSave="0" documentId="13_ncr:1_{AB2359AF-E5AA-184D-A206-72D1A7816F89}" xr6:coauthVersionLast="46" xr6:coauthVersionMax="46" xr10:uidLastSave="{00000000-0000-0000-0000-000000000000}"/>
  <bookViews>
    <workbookView xWindow="380" yWindow="460" windowWidth="28040" windowHeight="16160" activeTab="3" xr2:uid="{2C9A4AFC-4918-094B-9477-C5FB88E385C0}"/>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3" i="4" l="1"/>
  <c r="N43" i="4"/>
  <c r="N33" i="4"/>
  <c r="N23" i="4"/>
  <c r="N13" i="4"/>
  <c r="N11" i="4"/>
  <c r="I28" i="4"/>
  <c r="I23" i="4"/>
  <c r="I18" i="4"/>
  <c r="I13" i="4"/>
  <c r="I8" i="4"/>
  <c r="I6" i="4"/>
  <c r="N17" i="3"/>
  <c r="M17" i="3"/>
  <c r="L17" i="3"/>
  <c r="K17" i="3"/>
  <c r="J17" i="3"/>
  <c r="N48" i="4"/>
  <c r="N38" i="4"/>
  <c r="N28" i="4"/>
  <c r="N10" i="4"/>
  <c r="D28" i="4"/>
  <c r="D23" i="4"/>
  <c r="D18" i="4"/>
  <c r="D10" i="4"/>
  <c r="G27" i="3"/>
  <c r="G26" i="3"/>
  <c r="G25" i="3"/>
  <c r="J9" i="3"/>
  <c r="N7" i="3"/>
  <c r="M7" i="3"/>
  <c r="L7" i="3"/>
  <c r="F28" i="3"/>
  <c r="J15" i="3"/>
  <c r="B28" i="1"/>
  <c r="B27" i="1"/>
  <c r="B26" i="1"/>
  <c r="F17" i="1"/>
  <c r="F16" i="1"/>
  <c r="B20" i="1"/>
  <c r="B19" i="1"/>
  <c r="B18" i="1"/>
  <c r="B17" i="1"/>
  <c r="B16" i="1"/>
  <c r="F7" i="1"/>
  <c r="F5" i="1"/>
  <c r="F3" i="1"/>
  <c r="B6" i="1"/>
</calcChain>
</file>

<file path=xl/sharedStrings.xml><?xml version="1.0" encoding="utf-8"?>
<sst xmlns="http://schemas.openxmlformats.org/spreadsheetml/2006/main" count="185" uniqueCount="42">
  <si>
    <t>Number of trials</t>
  </si>
  <si>
    <t>Total damages to brain tissue</t>
  </si>
  <si>
    <t>Time taken to find subthalamus (seconds)</t>
  </si>
  <si>
    <t xml:space="preserve">Participant start off with exloring three axis (x,y,z),
 then more familiar with exploring other arc and ring axis as well in the second trial
The participant starting to take his time and explore the brain model in trial 4
</t>
  </si>
  <si>
    <t>xx is a good indicator of..</t>
  </si>
  <si>
    <t>Trial 1</t>
  </si>
  <si>
    <t>Participant ID</t>
  </si>
  <si>
    <t>1st attempt score</t>
  </si>
  <si>
    <t>2nd attempt score</t>
  </si>
  <si>
    <t>3rd attempt score</t>
  </si>
  <si>
    <t>4th attempt score</t>
  </si>
  <si>
    <t>5th attempt score</t>
  </si>
  <si>
    <t>GG</t>
  </si>
  <si>
    <t>EH</t>
  </si>
  <si>
    <t>MV</t>
  </si>
  <si>
    <t>SU</t>
  </si>
  <si>
    <t>HD</t>
  </si>
  <si>
    <t>Trial 2</t>
  </si>
  <si>
    <t>1st attempt time</t>
  </si>
  <si>
    <t>2nd attempt time</t>
  </si>
  <si>
    <t>3rd attempt time</t>
  </si>
  <si>
    <t>4th attempt time</t>
  </si>
  <si>
    <t>5th attempt time</t>
  </si>
  <si>
    <t>Week1 (EH, biomedical Engineer, VR Yes)</t>
  </si>
  <si>
    <t>Week1 ( EH, biomedical Engineer)</t>
  </si>
  <si>
    <t>Week1 (GG, Mathematics)</t>
  </si>
  <si>
    <t>Week1 (MV, biomedical Engineer, VR Yes)</t>
  </si>
  <si>
    <t>Week1 (HD, biomedical Engineer, VR Yes)</t>
  </si>
  <si>
    <t>Week1 (SU, biomedical Engineer, VR Yes)</t>
  </si>
  <si>
    <t>Loss of attention span?</t>
  </si>
  <si>
    <t>Numbers of attempts</t>
  </si>
  <si>
    <t>#Attempt</t>
  </si>
  <si>
    <t>Trial1</t>
  </si>
  <si>
    <t>Trial2</t>
  </si>
  <si>
    <t>Participant_ID</t>
  </si>
  <si>
    <t>DamageScore1</t>
  </si>
  <si>
    <t>Time1</t>
  </si>
  <si>
    <t>Time2</t>
  </si>
  <si>
    <t>TimeAll</t>
  </si>
  <si>
    <t>#AttemptAll</t>
  </si>
  <si>
    <t>All Data</t>
  </si>
  <si>
    <t>DamageScoreAll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</si>
</sst>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000000"/>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wrapText="1"/>
    </xf>
    <xf numFmtId="0" fontId="0" fillId="0" borderId="0" xfId="0" applyAlignment="1">
      <alignment horizontal="center"/>
    </xf>
    <xf numFmtId="0" fontId="1" fillId="0" borderId="1" xfId="0" applyFont="1" applyBorder="1"/>
    <xf numFmtId="0" fontId="0" fillId="0" borderId="4" xfId="0" applyBorder="1"/>
    <xf numFmtId="0" fontId="1" fillId="0" borderId="5" xfId="0" applyFont="1" applyBorder="1"/>
    <xf numFmtId="0" fontId="1" fillId="0" borderId="6" xfId="0" applyFont="1"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0" fillId="0" borderId="0" xfId="0" applyBorder="1"/>
    <xf numFmtId="0" fontId="1" fillId="0" borderId="1" xfId="0" applyFont="1" applyFill="1" applyBorder="1"/>
    <xf numFmtId="0" fontId="0" fillId="0" borderId="7" xfId="0" applyBorder="1" applyAlignment="1">
      <alignment horizontal="center" vertical="center"/>
    </xf>
    <xf numFmtId="0" fontId="0" fillId="0" borderId="5"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A7654-9DD8-B94E-AD5A-59E6A24A3A76}">
  <dimension ref="A1:H30"/>
  <sheetViews>
    <sheetView topLeftCell="A5" workbookViewId="0">
      <selection activeCell="A24" sqref="A24:C30"/>
    </sheetView>
  </sheetViews>
  <sheetFormatPr baseColWidth="10" defaultRowHeight="16" x14ac:dyDescent="0.2"/>
  <cols>
    <col min="1" max="1" width="14.6640625" bestFit="1" customWidth="1"/>
    <col min="2" max="2" width="36.1640625" bestFit="1" customWidth="1"/>
    <col min="3" max="3" width="25.83203125" bestFit="1" customWidth="1"/>
    <col min="5" max="5" width="14.6640625" bestFit="1" customWidth="1"/>
    <col min="6" max="6" width="36.1640625" bestFit="1" customWidth="1"/>
    <col min="7" max="7" width="25.83203125" bestFit="1" customWidth="1"/>
  </cols>
  <sheetData>
    <row r="1" spans="1:7" x14ac:dyDescent="0.2">
      <c r="A1" s="2" t="s">
        <v>23</v>
      </c>
      <c r="B1" s="2"/>
      <c r="C1" s="2"/>
      <c r="E1" s="2" t="s">
        <v>25</v>
      </c>
      <c r="F1" s="2"/>
      <c r="G1" s="2"/>
    </row>
    <row r="2" spans="1:7" x14ac:dyDescent="0.2">
      <c r="A2" s="1" t="s">
        <v>0</v>
      </c>
      <c r="B2" s="1" t="s">
        <v>2</v>
      </c>
      <c r="C2" s="1" t="s">
        <v>1</v>
      </c>
      <c r="E2" s="1" t="s">
        <v>0</v>
      </c>
      <c r="F2" s="1" t="s">
        <v>2</v>
      </c>
      <c r="G2" s="1" t="s">
        <v>1</v>
      </c>
    </row>
    <row r="3" spans="1:7" x14ac:dyDescent="0.2">
      <c r="A3" s="1">
        <v>1</v>
      </c>
      <c r="B3" s="1">
        <v>48.7</v>
      </c>
      <c r="C3" s="1">
        <v>87</v>
      </c>
      <c r="E3" s="1">
        <v>1</v>
      </c>
      <c r="F3" s="1">
        <f>120+1.7</f>
        <v>121.7</v>
      </c>
      <c r="G3" s="1">
        <v>242</v>
      </c>
    </row>
    <row r="4" spans="1:7" x14ac:dyDescent="0.2">
      <c r="A4" s="1">
        <v>2</v>
      </c>
      <c r="B4" s="1">
        <v>53.5</v>
      </c>
      <c r="C4" s="1">
        <v>59</v>
      </c>
      <c r="E4" s="1">
        <v>2</v>
      </c>
      <c r="F4" s="1">
        <v>34.299999999999997</v>
      </c>
      <c r="G4" s="1">
        <v>132</v>
      </c>
    </row>
    <row r="5" spans="1:7" x14ac:dyDescent="0.2">
      <c r="A5" s="1">
        <v>3</v>
      </c>
      <c r="B5" s="1">
        <v>48.2</v>
      </c>
      <c r="C5" s="1">
        <v>43</v>
      </c>
      <c r="E5" s="1">
        <v>3</v>
      </c>
      <c r="F5" s="1">
        <f>120+12.8</f>
        <v>132.80000000000001</v>
      </c>
      <c r="G5" s="1">
        <v>94</v>
      </c>
    </row>
    <row r="6" spans="1:7" x14ac:dyDescent="0.2">
      <c r="A6" s="1">
        <v>4</v>
      </c>
      <c r="B6" s="1">
        <f xml:space="preserve"> 60+42.3</f>
        <v>102.3</v>
      </c>
      <c r="C6" s="1">
        <v>45</v>
      </c>
      <c r="E6" s="1">
        <v>4</v>
      </c>
      <c r="F6" s="1">
        <v>48.2</v>
      </c>
      <c r="G6" s="1">
        <v>22</v>
      </c>
    </row>
    <row r="7" spans="1:7" x14ac:dyDescent="0.2">
      <c r="A7" s="1">
        <v>5</v>
      </c>
      <c r="B7" s="1">
        <v>48.6</v>
      </c>
      <c r="C7" s="1">
        <v>51</v>
      </c>
      <c r="E7" s="1">
        <v>5</v>
      </c>
      <c r="F7" s="1">
        <f>60+57.2</f>
        <v>117.2</v>
      </c>
      <c r="G7" s="1">
        <v>30</v>
      </c>
    </row>
    <row r="10" spans="1:7" ht="46" customHeight="1" x14ac:dyDescent="0.2">
      <c r="A10" s="3" t="s">
        <v>3</v>
      </c>
      <c r="B10" s="4"/>
      <c r="C10" s="4"/>
      <c r="E10" t="s">
        <v>4</v>
      </c>
    </row>
    <row r="12" spans="1:7" x14ac:dyDescent="0.2">
      <c r="D12" s="1"/>
      <c r="E12" s="1"/>
      <c r="F12" s="1"/>
    </row>
    <row r="14" spans="1:7" x14ac:dyDescent="0.2">
      <c r="A14" s="2" t="s">
        <v>26</v>
      </c>
      <c r="B14" s="2"/>
      <c r="C14" s="2"/>
      <c r="E14" s="9" t="s">
        <v>28</v>
      </c>
      <c r="F14" s="10"/>
      <c r="G14" s="11"/>
    </row>
    <row r="15" spans="1:7" x14ac:dyDescent="0.2">
      <c r="A15" s="1" t="s">
        <v>0</v>
      </c>
      <c r="B15" s="1" t="s">
        <v>2</v>
      </c>
      <c r="C15" s="1" t="s">
        <v>1</v>
      </c>
      <c r="E15" s="7" t="s">
        <v>0</v>
      </c>
      <c r="F15" s="8" t="s">
        <v>2</v>
      </c>
      <c r="G15" s="8" t="s">
        <v>1</v>
      </c>
    </row>
    <row r="16" spans="1:7" x14ac:dyDescent="0.2">
      <c r="A16" s="1">
        <v>1</v>
      </c>
      <c r="B16" s="1">
        <f>120+17</f>
        <v>137</v>
      </c>
      <c r="C16" s="1">
        <v>125</v>
      </c>
      <c r="E16" s="7">
        <v>1</v>
      </c>
      <c r="F16" s="8">
        <f>60+41.8</f>
        <v>101.8</v>
      </c>
      <c r="G16" s="8">
        <v>59</v>
      </c>
    </row>
    <row r="17" spans="1:8" x14ac:dyDescent="0.2">
      <c r="A17" s="1">
        <v>2</v>
      </c>
      <c r="B17" s="1">
        <f>47.15</f>
        <v>47.15</v>
      </c>
      <c r="C17" s="1">
        <v>62</v>
      </c>
      <c r="E17" s="7">
        <v>2</v>
      </c>
      <c r="F17" s="8">
        <f>34.3</f>
        <v>34.299999999999997</v>
      </c>
      <c r="G17" s="8">
        <v>44</v>
      </c>
    </row>
    <row r="18" spans="1:8" x14ac:dyDescent="0.2">
      <c r="A18" s="1">
        <v>3</v>
      </c>
      <c r="B18" s="1">
        <f>60+41.8</f>
        <v>101.8</v>
      </c>
      <c r="C18" s="1">
        <v>49</v>
      </c>
      <c r="E18" s="7">
        <v>3</v>
      </c>
      <c r="F18" s="8">
        <v>32.4</v>
      </c>
      <c r="G18" s="8">
        <v>66</v>
      </c>
    </row>
    <row r="19" spans="1:8" x14ac:dyDescent="0.2">
      <c r="A19" s="1">
        <v>4</v>
      </c>
      <c r="B19" s="1">
        <f xml:space="preserve"> 60+59</f>
        <v>119</v>
      </c>
      <c r="C19" s="1">
        <v>111</v>
      </c>
      <c r="E19" s="7">
        <v>4</v>
      </c>
      <c r="F19" s="8">
        <v>24.45</v>
      </c>
      <c r="G19" s="8">
        <v>52</v>
      </c>
    </row>
    <row r="20" spans="1:8" x14ac:dyDescent="0.2">
      <c r="A20" s="1">
        <v>5</v>
      </c>
      <c r="B20" s="1">
        <f>60+42.7</f>
        <v>102.7</v>
      </c>
      <c r="C20" s="1">
        <v>73</v>
      </c>
      <c r="E20" s="7">
        <v>5</v>
      </c>
      <c r="F20" s="8">
        <v>27</v>
      </c>
      <c r="G20" s="8">
        <v>84</v>
      </c>
      <c r="H20" t="s">
        <v>29</v>
      </c>
    </row>
    <row r="24" spans="1:8" x14ac:dyDescent="0.2">
      <c r="A24" s="9" t="s">
        <v>27</v>
      </c>
      <c r="B24" s="10"/>
      <c r="C24" s="11"/>
    </row>
    <row r="25" spans="1:8" x14ac:dyDescent="0.2">
      <c r="A25" s="7" t="s">
        <v>0</v>
      </c>
      <c r="B25" s="8" t="s">
        <v>2</v>
      </c>
      <c r="C25" s="8" t="s">
        <v>1</v>
      </c>
    </row>
    <row r="26" spans="1:8" x14ac:dyDescent="0.2">
      <c r="A26" s="7">
        <v>1</v>
      </c>
      <c r="B26" s="8">
        <f>180+32.2</f>
        <v>212.2</v>
      </c>
      <c r="C26" s="8">
        <v>112</v>
      </c>
    </row>
    <row r="27" spans="1:8" x14ac:dyDescent="0.2">
      <c r="A27" s="7">
        <v>2</v>
      </c>
      <c r="B27" s="8">
        <f>120+8.6</f>
        <v>128.6</v>
      </c>
      <c r="C27" s="8">
        <v>142</v>
      </c>
    </row>
    <row r="28" spans="1:8" x14ac:dyDescent="0.2">
      <c r="A28" s="7">
        <v>3</v>
      </c>
      <c r="B28" s="8">
        <f>58.7</f>
        <v>58.7</v>
      </c>
      <c r="C28" s="8">
        <v>46</v>
      </c>
    </row>
    <row r="29" spans="1:8" x14ac:dyDescent="0.2">
      <c r="A29" s="7">
        <v>4</v>
      </c>
      <c r="B29" s="8">
        <v>17.2</v>
      </c>
      <c r="C29" s="8">
        <v>46</v>
      </c>
    </row>
    <row r="30" spans="1:8" x14ac:dyDescent="0.2">
      <c r="A30" s="7">
        <v>5</v>
      </c>
      <c r="B30" s="8">
        <v>34.299999999999997</v>
      </c>
      <c r="C30" s="8">
        <v>43</v>
      </c>
    </row>
  </sheetData>
  <mergeCells count="6">
    <mergeCell ref="A24:C24"/>
    <mergeCell ref="A1:C1"/>
    <mergeCell ref="A10:C10"/>
    <mergeCell ref="E1:G1"/>
    <mergeCell ref="A14:C14"/>
    <mergeCell ref="E14:G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3E1F7-D378-464F-A905-F2B5AE8099C3}">
  <dimension ref="A1:C8"/>
  <sheetViews>
    <sheetView zoomScale="136" workbookViewId="0">
      <selection activeCell="B21" sqref="B21"/>
    </sheetView>
  </sheetViews>
  <sheetFormatPr baseColWidth="10" defaultRowHeight="16" x14ac:dyDescent="0.2"/>
  <cols>
    <col min="1" max="1" width="14.6640625" bestFit="1" customWidth="1"/>
    <col min="2" max="2" width="36.1640625" bestFit="1" customWidth="1"/>
    <col min="3" max="3" width="25.83203125" bestFit="1" customWidth="1"/>
  </cols>
  <sheetData>
    <row r="1" spans="1:3" x14ac:dyDescent="0.2">
      <c r="A1" s="2" t="s">
        <v>24</v>
      </c>
      <c r="B1" s="2"/>
      <c r="C1" s="2"/>
    </row>
    <row r="2" spans="1:3" x14ac:dyDescent="0.2">
      <c r="A2" s="1" t="s">
        <v>0</v>
      </c>
      <c r="B2" s="1" t="s">
        <v>2</v>
      </c>
      <c r="C2" s="1" t="s">
        <v>1</v>
      </c>
    </row>
    <row r="3" spans="1:3" x14ac:dyDescent="0.2">
      <c r="A3" s="1">
        <v>1</v>
      </c>
      <c r="B3" s="1">
        <v>29.5</v>
      </c>
      <c r="C3" s="1">
        <v>42</v>
      </c>
    </row>
    <row r="4" spans="1:3" x14ac:dyDescent="0.2">
      <c r="A4" s="1">
        <v>2</v>
      </c>
      <c r="B4" s="1">
        <v>25.6</v>
      </c>
      <c r="C4" s="1">
        <v>29</v>
      </c>
    </row>
    <row r="5" spans="1:3" x14ac:dyDescent="0.2">
      <c r="A5" s="1">
        <v>3</v>
      </c>
      <c r="B5" s="1">
        <v>36.200000000000003</v>
      </c>
      <c r="C5" s="1">
        <v>21</v>
      </c>
    </row>
    <row r="6" spans="1:3" x14ac:dyDescent="0.2">
      <c r="A6" s="1">
        <v>4</v>
      </c>
      <c r="B6" s="1">
        <v>27.9</v>
      </c>
      <c r="C6" s="1">
        <v>21</v>
      </c>
    </row>
    <row r="7" spans="1:3" x14ac:dyDescent="0.2">
      <c r="A7" s="1">
        <v>5</v>
      </c>
      <c r="B7" s="1">
        <v>25.8</v>
      </c>
      <c r="C7" s="1">
        <v>30</v>
      </c>
    </row>
    <row r="8" spans="1:3" x14ac:dyDescent="0.2">
      <c r="A8" s="1"/>
      <c r="B8" s="1"/>
      <c r="C8" s="1"/>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29674-81D6-F840-AF71-F446971C6287}">
  <dimension ref="B2:N29"/>
  <sheetViews>
    <sheetView topLeftCell="I1" zoomScale="168" workbookViewId="0">
      <selection activeCell="N15" sqref="N15:N19"/>
    </sheetView>
  </sheetViews>
  <sheetFormatPr baseColWidth="10" defaultRowHeight="16" x14ac:dyDescent="0.2"/>
  <cols>
    <col min="2" max="2" width="12.1640625" bestFit="1" customWidth="1"/>
    <col min="3" max="3" width="15.6640625" bestFit="1" customWidth="1"/>
    <col min="4" max="4" width="16.33203125" bestFit="1" customWidth="1"/>
    <col min="5" max="7" width="15.83203125" bestFit="1" customWidth="1"/>
    <col min="9" max="9" width="12.1640625" bestFit="1" customWidth="1"/>
    <col min="10" max="10" width="15.6640625" bestFit="1" customWidth="1"/>
    <col min="11" max="11" width="16.33203125" bestFit="1" customWidth="1"/>
    <col min="12" max="14" width="15.83203125" bestFit="1" customWidth="1"/>
  </cols>
  <sheetData>
    <row r="2" spans="2:14" x14ac:dyDescent="0.2">
      <c r="B2" t="s">
        <v>5</v>
      </c>
    </row>
    <row r="3" spans="2:14" ht="21" customHeight="1" x14ac:dyDescent="0.2">
      <c r="B3" s="14" t="s">
        <v>6</v>
      </c>
      <c r="C3" s="2" t="s">
        <v>30</v>
      </c>
      <c r="D3" s="2"/>
      <c r="E3" s="2"/>
      <c r="F3" s="2"/>
      <c r="G3" s="2"/>
    </row>
    <row r="4" spans="2:14" x14ac:dyDescent="0.2">
      <c r="B4" s="15"/>
      <c r="C4" s="1">
        <v>1</v>
      </c>
      <c r="D4" s="1">
        <v>2</v>
      </c>
      <c r="E4" s="1">
        <v>3</v>
      </c>
      <c r="F4" s="1">
        <v>4</v>
      </c>
      <c r="G4" s="1">
        <v>5</v>
      </c>
      <c r="I4" s="5" t="s">
        <v>6</v>
      </c>
      <c r="J4" s="5" t="s">
        <v>18</v>
      </c>
      <c r="K4" s="5" t="s">
        <v>19</v>
      </c>
      <c r="L4" s="5" t="s">
        <v>20</v>
      </c>
      <c r="M4" s="5" t="s">
        <v>21</v>
      </c>
      <c r="N4" s="5" t="s">
        <v>22</v>
      </c>
    </row>
    <row r="5" spans="2:14" x14ac:dyDescent="0.2">
      <c r="B5" s="1" t="s">
        <v>12</v>
      </c>
      <c r="C5" s="1">
        <v>242</v>
      </c>
      <c r="D5" s="1">
        <v>132</v>
      </c>
      <c r="E5" s="1">
        <v>94</v>
      </c>
      <c r="F5" s="1">
        <v>22</v>
      </c>
      <c r="G5" s="1">
        <v>30</v>
      </c>
      <c r="I5" s="5" t="s">
        <v>12</v>
      </c>
      <c r="J5" s="5">
        <v>121.7</v>
      </c>
      <c r="K5" s="5">
        <v>34.299999999999997</v>
      </c>
      <c r="L5" s="5">
        <v>132.80000000000001</v>
      </c>
      <c r="M5" s="5">
        <v>48.2</v>
      </c>
      <c r="N5" s="5">
        <v>145</v>
      </c>
    </row>
    <row r="6" spans="2:14" x14ac:dyDescent="0.2">
      <c r="B6" s="1" t="s">
        <v>13</v>
      </c>
      <c r="C6" s="1">
        <v>87</v>
      </c>
      <c r="D6" s="1">
        <v>59</v>
      </c>
      <c r="E6" s="1">
        <v>43</v>
      </c>
      <c r="F6" s="1">
        <v>45</v>
      </c>
      <c r="G6" s="1">
        <v>51</v>
      </c>
      <c r="I6" s="5" t="s">
        <v>13</v>
      </c>
      <c r="J6" s="5">
        <v>48.7</v>
      </c>
      <c r="K6" s="5">
        <v>53.5</v>
      </c>
      <c r="L6" s="5">
        <v>48.2</v>
      </c>
      <c r="M6" s="5">
        <v>102.3</v>
      </c>
      <c r="N6" s="5">
        <v>48.6</v>
      </c>
    </row>
    <row r="7" spans="2:14" x14ac:dyDescent="0.2">
      <c r="B7" s="1" t="s">
        <v>14</v>
      </c>
      <c r="C7" s="1">
        <v>125</v>
      </c>
      <c r="D7" s="1">
        <v>62</v>
      </c>
      <c r="E7" s="1">
        <v>49</v>
      </c>
      <c r="F7" s="1">
        <v>111</v>
      </c>
      <c r="G7" s="1">
        <v>73</v>
      </c>
      <c r="I7" s="5" t="s">
        <v>14</v>
      </c>
      <c r="J7" s="5">
        <v>137</v>
      </c>
      <c r="K7" s="5">
        <v>47.1</v>
      </c>
      <c r="L7" s="5">
        <f>60+41.8</f>
        <v>101.8</v>
      </c>
      <c r="M7" s="5">
        <f>60+59</f>
        <v>119</v>
      </c>
      <c r="N7" s="5">
        <f>60+42.7</f>
        <v>102.7</v>
      </c>
    </row>
    <row r="8" spans="2:14" x14ac:dyDescent="0.2">
      <c r="B8" s="1" t="s">
        <v>15</v>
      </c>
      <c r="C8" s="1">
        <v>59</v>
      </c>
      <c r="D8" s="1">
        <v>44</v>
      </c>
      <c r="E8" s="1">
        <v>66</v>
      </c>
      <c r="F8" s="1">
        <v>52</v>
      </c>
      <c r="G8" s="1">
        <v>84</v>
      </c>
      <c r="I8" s="5" t="s">
        <v>15</v>
      </c>
      <c r="J8" s="5">
        <v>101.8</v>
      </c>
      <c r="K8" s="5">
        <v>34.299999999999997</v>
      </c>
      <c r="L8" s="5">
        <v>32.4</v>
      </c>
      <c r="M8" s="5">
        <v>24.4</v>
      </c>
      <c r="N8" s="5">
        <v>27</v>
      </c>
    </row>
    <row r="9" spans="2:14" x14ac:dyDescent="0.2">
      <c r="B9" s="1" t="s">
        <v>16</v>
      </c>
      <c r="C9" s="1">
        <v>112</v>
      </c>
      <c r="D9" s="1">
        <v>142</v>
      </c>
      <c r="E9" s="1">
        <v>46</v>
      </c>
      <c r="F9" s="1">
        <v>46</v>
      </c>
      <c r="G9" s="1">
        <v>43</v>
      </c>
      <c r="I9" s="5" t="s">
        <v>16</v>
      </c>
      <c r="J9" s="5">
        <f>180+32.2</f>
        <v>212.2</v>
      </c>
      <c r="K9" s="5">
        <v>128.6</v>
      </c>
      <c r="L9" s="13">
        <v>58.7</v>
      </c>
      <c r="M9" s="5">
        <v>17.2</v>
      </c>
      <c r="N9" s="5">
        <v>34.299999999999997</v>
      </c>
    </row>
    <row r="12" spans="2:14" x14ac:dyDescent="0.2">
      <c r="B12" t="s">
        <v>17</v>
      </c>
    </row>
    <row r="13" spans="2:14" x14ac:dyDescent="0.2">
      <c r="B13" s="2" t="s">
        <v>6</v>
      </c>
      <c r="C13" s="2" t="s">
        <v>30</v>
      </c>
      <c r="D13" s="2"/>
      <c r="E13" s="2"/>
      <c r="F13" s="2"/>
      <c r="G13" s="2"/>
    </row>
    <row r="14" spans="2:14" x14ac:dyDescent="0.2">
      <c r="B14" s="2"/>
      <c r="C14" s="1" t="s">
        <v>7</v>
      </c>
      <c r="D14" s="1" t="s">
        <v>8</v>
      </c>
      <c r="E14" s="1" t="s">
        <v>9</v>
      </c>
      <c r="F14" s="1" t="s">
        <v>10</v>
      </c>
      <c r="G14" s="1" t="s">
        <v>11</v>
      </c>
      <c r="I14" s="5" t="s">
        <v>6</v>
      </c>
      <c r="J14" s="5" t="s">
        <v>18</v>
      </c>
      <c r="K14" s="5" t="s">
        <v>19</v>
      </c>
      <c r="L14" s="5" t="s">
        <v>20</v>
      </c>
      <c r="M14" s="5" t="s">
        <v>21</v>
      </c>
      <c r="N14" s="5" t="s">
        <v>22</v>
      </c>
    </row>
    <row r="15" spans="2:14" x14ac:dyDescent="0.2">
      <c r="B15" s="1" t="s">
        <v>12</v>
      </c>
      <c r="C15" s="1">
        <v>125</v>
      </c>
      <c r="D15" s="1">
        <v>71</v>
      </c>
      <c r="E15" s="1">
        <v>52</v>
      </c>
      <c r="F15" s="1">
        <v>36</v>
      </c>
      <c r="G15" s="1">
        <v>29</v>
      </c>
      <c r="I15" s="5" t="s">
        <v>12</v>
      </c>
      <c r="J15" s="5">
        <f>60+33.6</f>
        <v>93.6</v>
      </c>
      <c r="K15" s="5">
        <v>18.5</v>
      </c>
      <c r="L15" s="5">
        <v>68.8</v>
      </c>
      <c r="M15" s="5">
        <v>57</v>
      </c>
      <c r="N15" s="5">
        <v>34.299999999999997</v>
      </c>
    </row>
    <row r="16" spans="2:14" x14ac:dyDescent="0.2">
      <c r="B16" s="1" t="s">
        <v>13</v>
      </c>
      <c r="C16" s="1">
        <v>42</v>
      </c>
      <c r="D16" s="1">
        <v>29</v>
      </c>
      <c r="E16" s="1">
        <v>21</v>
      </c>
      <c r="F16" s="1">
        <v>21</v>
      </c>
      <c r="G16" s="1">
        <v>30</v>
      </c>
      <c r="I16" s="5" t="s">
        <v>13</v>
      </c>
      <c r="J16" s="5">
        <v>29.5</v>
      </c>
      <c r="K16" s="5">
        <v>25.6</v>
      </c>
      <c r="L16" s="5">
        <v>36.200000000000003</v>
      </c>
      <c r="M16" s="5">
        <v>27.9</v>
      </c>
      <c r="N16" s="5">
        <v>25.8</v>
      </c>
    </row>
    <row r="17" spans="2:14" x14ac:dyDescent="0.2">
      <c r="B17" s="1" t="s">
        <v>14</v>
      </c>
      <c r="C17" s="1">
        <v>206</v>
      </c>
      <c r="D17" s="1">
        <v>52</v>
      </c>
      <c r="E17" s="1">
        <v>55</v>
      </c>
      <c r="F17" s="1">
        <v>55</v>
      </c>
      <c r="G17" s="1">
        <v>49</v>
      </c>
      <c r="I17" s="5" t="s">
        <v>14</v>
      </c>
      <c r="J17" s="5">
        <f>7*60+16.6</f>
        <v>436.6</v>
      </c>
      <c r="K17" s="5">
        <f>60+1.2</f>
        <v>61.2</v>
      </c>
      <c r="L17" s="5">
        <f>180+14.6</f>
        <v>194.6</v>
      </c>
      <c r="M17" s="5">
        <f>60+26.3</f>
        <v>86.3</v>
      </c>
      <c r="N17" s="5">
        <f>60+36.2</f>
        <v>96.2</v>
      </c>
    </row>
    <row r="18" spans="2:14" x14ac:dyDescent="0.2">
      <c r="B18" s="1" t="s">
        <v>15</v>
      </c>
      <c r="C18" s="1">
        <v>31</v>
      </c>
      <c r="D18" s="1">
        <v>41</v>
      </c>
      <c r="E18" s="1">
        <v>31</v>
      </c>
      <c r="F18" s="1">
        <v>30</v>
      </c>
      <c r="G18" s="1">
        <v>36</v>
      </c>
      <c r="I18" s="5" t="s">
        <v>15</v>
      </c>
      <c r="J18" s="5">
        <v>31.2</v>
      </c>
      <c r="K18" s="5">
        <v>29.7</v>
      </c>
      <c r="L18" s="5">
        <v>21.9</v>
      </c>
      <c r="M18" s="5">
        <v>25.9</v>
      </c>
      <c r="N18" s="5">
        <v>38.299999999999997</v>
      </c>
    </row>
    <row r="19" spans="2:14" x14ac:dyDescent="0.2">
      <c r="B19" s="1" t="s">
        <v>16</v>
      </c>
      <c r="C19" s="1">
        <v>42</v>
      </c>
      <c r="D19" s="1">
        <v>48</v>
      </c>
      <c r="E19" s="1">
        <v>68</v>
      </c>
      <c r="F19" s="1">
        <v>43</v>
      </c>
      <c r="G19" s="1">
        <v>52</v>
      </c>
      <c r="I19" s="5" t="s">
        <v>16</v>
      </c>
      <c r="J19" s="5">
        <v>29.7</v>
      </c>
      <c r="K19" s="5">
        <v>31.1</v>
      </c>
      <c r="L19" s="5">
        <v>24.4</v>
      </c>
      <c r="M19" s="5">
        <v>20.3</v>
      </c>
      <c r="N19" s="5">
        <v>20.399999999999999</v>
      </c>
    </row>
    <row r="21" spans="2:14" x14ac:dyDescent="0.2">
      <c r="D21" s="12"/>
    </row>
    <row r="22" spans="2:14" x14ac:dyDescent="0.2">
      <c r="D22" s="12"/>
    </row>
    <row r="23" spans="2:14" x14ac:dyDescent="0.2">
      <c r="D23" s="12"/>
    </row>
    <row r="24" spans="2:14" x14ac:dyDescent="0.2">
      <c r="D24" s="12"/>
    </row>
    <row r="25" spans="2:14" x14ac:dyDescent="0.2">
      <c r="D25" s="12"/>
      <c r="E25" s="6">
        <v>29.5</v>
      </c>
      <c r="F25" s="1">
        <v>48.7</v>
      </c>
      <c r="G25" s="8">
        <f>180+32.2</f>
        <v>212.2</v>
      </c>
    </row>
    <row r="26" spans="2:14" x14ac:dyDescent="0.2">
      <c r="D26" s="12"/>
      <c r="E26" s="6">
        <v>25.6</v>
      </c>
      <c r="F26" s="1">
        <v>53.5</v>
      </c>
      <c r="G26" s="8">
        <f>120+8.6</f>
        <v>128.6</v>
      </c>
    </row>
    <row r="27" spans="2:14" x14ac:dyDescent="0.2">
      <c r="E27" s="1">
        <v>36.200000000000003</v>
      </c>
      <c r="F27" s="1">
        <v>48.2</v>
      </c>
      <c r="G27" s="8">
        <f>58.7</f>
        <v>58.7</v>
      </c>
    </row>
    <row r="28" spans="2:14" x14ac:dyDescent="0.2">
      <c r="E28" s="1">
        <v>27.9</v>
      </c>
      <c r="F28" s="1">
        <f xml:space="preserve"> 60+42.3</f>
        <v>102.3</v>
      </c>
      <c r="G28" s="8">
        <v>17.2</v>
      </c>
    </row>
    <row r="29" spans="2:14" x14ac:dyDescent="0.2">
      <c r="E29" s="1">
        <v>25.8</v>
      </c>
      <c r="F29" s="1">
        <v>48.6</v>
      </c>
      <c r="G29" s="8">
        <v>34.299999999999997</v>
      </c>
    </row>
  </sheetData>
  <mergeCells count="4">
    <mergeCell ref="C3:G3"/>
    <mergeCell ref="B3:B4"/>
    <mergeCell ref="B13:B14"/>
    <mergeCell ref="C13:G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0B76D-8F39-7845-AFAC-871FD2692744}">
  <dimension ref="A4:N55"/>
  <sheetViews>
    <sheetView tabSelected="1" zoomScale="112" workbookViewId="0">
      <selection activeCell="M7" sqref="M7"/>
    </sheetView>
  </sheetViews>
  <sheetFormatPr baseColWidth="10" defaultRowHeight="16" x14ac:dyDescent="0.2"/>
  <cols>
    <col min="1" max="1" width="12.6640625" bestFit="1" customWidth="1"/>
    <col min="2" max="2" width="12.5" bestFit="1" customWidth="1"/>
    <col min="6" max="6" width="12.6640625" bestFit="1" customWidth="1"/>
    <col min="7" max="7" width="12.5" bestFit="1" customWidth="1"/>
    <col min="11" max="11" width="12.6640625" bestFit="1" customWidth="1"/>
    <col min="12" max="12" width="16.83203125" bestFit="1" customWidth="1"/>
    <col min="13" max="13" width="13.1640625" bestFit="1" customWidth="1"/>
  </cols>
  <sheetData>
    <row r="4" spans="1:14" x14ac:dyDescent="0.2">
      <c r="A4" t="s">
        <v>32</v>
      </c>
      <c r="F4" t="s">
        <v>33</v>
      </c>
      <c r="K4" t="s">
        <v>40</v>
      </c>
    </row>
    <row r="5" spans="1:14" x14ac:dyDescent="0.2">
      <c r="A5" s="1" t="s">
        <v>34</v>
      </c>
      <c r="B5" s="1" t="s">
        <v>35</v>
      </c>
      <c r="C5" s="1" t="s">
        <v>31</v>
      </c>
      <c r="D5" s="1" t="s">
        <v>36</v>
      </c>
      <c r="F5" s="1" t="s">
        <v>34</v>
      </c>
      <c r="G5" s="1" t="s">
        <v>35</v>
      </c>
      <c r="H5" s="1" t="s">
        <v>31</v>
      </c>
      <c r="I5" s="1" t="s">
        <v>37</v>
      </c>
      <c r="K5" s="1" t="s">
        <v>34</v>
      </c>
      <c r="L5" s="1" t="s">
        <v>41</v>
      </c>
      <c r="M5" s="1" t="s">
        <v>39</v>
      </c>
      <c r="N5" s="1" t="s">
        <v>38</v>
      </c>
    </row>
    <row r="6" spans="1:14" x14ac:dyDescent="0.2">
      <c r="A6" s="1" t="s">
        <v>12</v>
      </c>
      <c r="B6" s="1">
        <v>242</v>
      </c>
      <c r="C6" s="1">
        <v>1</v>
      </c>
      <c r="D6" s="5">
        <v>121.7</v>
      </c>
      <c r="F6" s="1" t="s">
        <v>12</v>
      </c>
      <c r="G6" s="1">
        <v>125</v>
      </c>
      <c r="H6" s="1">
        <v>1</v>
      </c>
      <c r="I6" s="5">
        <f>60+33.6</f>
        <v>93.6</v>
      </c>
      <c r="K6" s="1" t="s">
        <v>12</v>
      </c>
      <c r="L6" s="1">
        <v>242</v>
      </c>
      <c r="M6" s="1">
        <v>1</v>
      </c>
      <c r="N6" s="5">
        <v>121.7</v>
      </c>
    </row>
    <row r="7" spans="1:14" x14ac:dyDescent="0.2">
      <c r="A7" s="1" t="s">
        <v>13</v>
      </c>
      <c r="B7" s="1">
        <v>87</v>
      </c>
      <c r="C7" s="1">
        <v>1</v>
      </c>
      <c r="D7" s="5">
        <v>48.7</v>
      </c>
      <c r="F7" s="1" t="s">
        <v>13</v>
      </c>
      <c r="G7" s="1">
        <v>42</v>
      </c>
      <c r="H7" s="1">
        <v>1</v>
      </c>
      <c r="I7" s="5">
        <v>29.5</v>
      </c>
      <c r="K7" s="1" t="s">
        <v>13</v>
      </c>
      <c r="L7" s="1">
        <v>87</v>
      </c>
      <c r="M7" s="1">
        <v>1</v>
      </c>
      <c r="N7" s="5">
        <v>48.7</v>
      </c>
    </row>
    <row r="8" spans="1:14" x14ac:dyDescent="0.2">
      <c r="A8" s="1" t="s">
        <v>14</v>
      </c>
      <c r="B8" s="1">
        <v>125</v>
      </c>
      <c r="C8" s="1">
        <v>1</v>
      </c>
      <c r="D8" s="5">
        <v>137</v>
      </c>
      <c r="F8" s="1" t="s">
        <v>14</v>
      </c>
      <c r="G8" s="1">
        <v>206</v>
      </c>
      <c r="H8" s="1">
        <v>1</v>
      </c>
      <c r="I8" s="5">
        <f>7*60+16.6</f>
        <v>436.6</v>
      </c>
      <c r="K8" s="1" t="s">
        <v>14</v>
      </c>
      <c r="L8" s="1">
        <v>125</v>
      </c>
      <c r="M8" s="1">
        <v>1</v>
      </c>
      <c r="N8" s="5">
        <v>137</v>
      </c>
    </row>
    <row r="9" spans="1:14" x14ac:dyDescent="0.2">
      <c r="A9" s="1" t="s">
        <v>15</v>
      </c>
      <c r="B9" s="1">
        <v>59</v>
      </c>
      <c r="C9" s="1">
        <v>1</v>
      </c>
      <c r="D9" s="5">
        <v>101.8</v>
      </c>
      <c r="F9" s="1" t="s">
        <v>15</v>
      </c>
      <c r="G9" s="1">
        <v>31</v>
      </c>
      <c r="H9" s="1">
        <v>1</v>
      </c>
      <c r="I9" s="5">
        <v>31.2</v>
      </c>
      <c r="K9" s="1" t="s">
        <v>15</v>
      </c>
      <c r="L9" s="1">
        <v>59</v>
      </c>
      <c r="M9" s="1">
        <v>1</v>
      </c>
      <c r="N9" s="5">
        <v>101.8</v>
      </c>
    </row>
    <row r="10" spans="1:14" x14ac:dyDescent="0.2">
      <c r="A10" s="1" t="s">
        <v>16</v>
      </c>
      <c r="B10" s="1">
        <v>112</v>
      </c>
      <c r="C10" s="1">
        <v>1</v>
      </c>
      <c r="D10" s="5">
        <f>180+32.2</f>
        <v>212.2</v>
      </c>
      <c r="F10" s="1" t="s">
        <v>16</v>
      </c>
      <c r="G10" s="1">
        <v>42</v>
      </c>
      <c r="H10" s="1">
        <v>1</v>
      </c>
      <c r="I10" s="5">
        <v>29.7</v>
      </c>
      <c r="K10" s="1" t="s">
        <v>16</v>
      </c>
      <c r="L10" s="1">
        <v>112</v>
      </c>
      <c r="M10" s="1">
        <v>1</v>
      </c>
      <c r="N10" s="5">
        <f>180+32.2</f>
        <v>212.2</v>
      </c>
    </row>
    <row r="11" spans="1:14" x14ac:dyDescent="0.2">
      <c r="A11" s="1" t="s">
        <v>12</v>
      </c>
      <c r="B11" s="1">
        <v>132</v>
      </c>
      <c r="C11" s="1">
        <v>2</v>
      </c>
      <c r="D11" s="5">
        <v>34.299999999999997</v>
      </c>
      <c r="F11" s="1" t="s">
        <v>12</v>
      </c>
      <c r="G11" s="1">
        <v>71</v>
      </c>
      <c r="H11" s="1">
        <v>2</v>
      </c>
      <c r="I11" s="5">
        <v>18.5</v>
      </c>
      <c r="K11" s="1" t="s">
        <v>12</v>
      </c>
      <c r="L11" s="1">
        <v>125</v>
      </c>
      <c r="M11" s="1">
        <v>1</v>
      </c>
      <c r="N11" s="5">
        <f>60+33.6</f>
        <v>93.6</v>
      </c>
    </row>
    <row r="12" spans="1:14" x14ac:dyDescent="0.2">
      <c r="A12" s="1" t="s">
        <v>13</v>
      </c>
      <c r="B12" s="1">
        <v>59</v>
      </c>
      <c r="C12" s="1">
        <v>2</v>
      </c>
      <c r="D12" s="5">
        <v>53.5</v>
      </c>
      <c r="F12" s="1" t="s">
        <v>13</v>
      </c>
      <c r="G12" s="1">
        <v>29</v>
      </c>
      <c r="H12" s="1">
        <v>2</v>
      </c>
      <c r="I12" s="5">
        <v>25.6</v>
      </c>
      <c r="K12" s="1" t="s">
        <v>13</v>
      </c>
      <c r="L12" s="1">
        <v>42</v>
      </c>
      <c r="M12" s="1">
        <v>1</v>
      </c>
      <c r="N12" s="5">
        <v>29.5</v>
      </c>
    </row>
    <row r="13" spans="1:14" x14ac:dyDescent="0.2">
      <c r="A13" s="1" t="s">
        <v>14</v>
      </c>
      <c r="B13" s="1">
        <v>62</v>
      </c>
      <c r="C13" s="1">
        <v>2</v>
      </c>
      <c r="D13" s="5">
        <v>47.1</v>
      </c>
      <c r="F13" s="1" t="s">
        <v>14</v>
      </c>
      <c r="G13" s="1">
        <v>52</v>
      </c>
      <c r="H13" s="1">
        <v>2</v>
      </c>
      <c r="I13" s="5">
        <f>60+1.2</f>
        <v>61.2</v>
      </c>
      <c r="K13" s="1" t="s">
        <v>14</v>
      </c>
      <c r="L13" s="1">
        <v>206</v>
      </c>
      <c r="M13" s="1">
        <v>1</v>
      </c>
      <c r="N13" s="5">
        <f>7*60+16.6</f>
        <v>436.6</v>
      </c>
    </row>
    <row r="14" spans="1:14" x14ac:dyDescent="0.2">
      <c r="A14" s="1" t="s">
        <v>15</v>
      </c>
      <c r="B14" s="1">
        <v>44</v>
      </c>
      <c r="C14" s="1">
        <v>2</v>
      </c>
      <c r="D14" s="5">
        <v>34.299999999999997</v>
      </c>
      <c r="F14" s="1" t="s">
        <v>15</v>
      </c>
      <c r="G14" s="1">
        <v>41</v>
      </c>
      <c r="H14" s="1">
        <v>2</v>
      </c>
      <c r="I14" s="5">
        <v>29.7</v>
      </c>
      <c r="K14" s="1" t="s">
        <v>15</v>
      </c>
      <c r="L14" s="1">
        <v>31</v>
      </c>
      <c r="M14" s="1">
        <v>1</v>
      </c>
      <c r="N14" s="5">
        <v>31.2</v>
      </c>
    </row>
    <row r="15" spans="1:14" x14ac:dyDescent="0.2">
      <c r="A15" s="1" t="s">
        <v>16</v>
      </c>
      <c r="B15" s="1">
        <v>142</v>
      </c>
      <c r="C15" s="1">
        <v>2</v>
      </c>
      <c r="D15" s="5">
        <v>128.6</v>
      </c>
      <c r="F15" s="1" t="s">
        <v>16</v>
      </c>
      <c r="G15" s="1">
        <v>48</v>
      </c>
      <c r="H15" s="1">
        <v>2</v>
      </c>
      <c r="I15" s="5">
        <v>31.1</v>
      </c>
      <c r="K15" s="1" t="s">
        <v>16</v>
      </c>
      <c r="L15" s="1">
        <v>42</v>
      </c>
      <c r="M15" s="1">
        <v>1</v>
      </c>
      <c r="N15" s="5">
        <v>29.7</v>
      </c>
    </row>
    <row r="16" spans="1:14" x14ac:dyDescent="0.2">
      <c r="A16" s="1" t="s">
        <v>12</v>
      </c>
      <c r="B16" s="5">
        <v>94</v>
      </c>
      <c r="C16" s="1">
        <v>3</v>
      </c>
      <c r="D16" s="5">
        <v>132.80000000000001</v>
      </c>
      <c r="F16" s="1" t="s">
        <v>12</v>
      </c>
      <c r="G16" s="1">
        <v>52</v>
      </c>
      <c r="H16" s="1">
        <v>3</v>
      </c>
      <c r="I16" s="5">
        <v>68.8</v>
      </c>
      <c r="K16" s="1" t="s">
        <v>12</v>
      </c>
      <c r="L16" s="1">
        <v>132</v>
      </c>
      <c r="M16">
        <v>2</v>
      </c>
      <c r="N16" s="5">
        <v>34.299999999999997</v>
      </c>
    </row>
    <row r="17" spans="1:14" x14ac:dyDescent="0.2">
      <c r="A17" s="1" t="s">
        <v>13</v>
      </c>
      <c r="B17" s="5">
        <v>43</v>
      </c>
      <c r="C17" s="1">
        <v>3</v>
      </c>
      <c r="D17" s="5">
        <v>48.2</v>
      </c>
      <c r="F17" s="1" t="s">
        <v>13</v>
      </c>
      <c r="G17" s="1">
        <v>21</v>
      </c>
      <c r="H17" s="1">
        <v>3</v>
      </c>
      <c r="I17" s="5">
        <v>36.200000000000003</v>
      </c>
      <c r="K17" s="1" t="s">
        <v>13</v>
      </c>
      <c r="L17" s="1">
        <v>59</v>
      </c>
      <c r="M17">
        <v>2</v>
      </c>
      <c r="N17" s="5">
        <v>53.5</v>
      </c>
    </row>
    <row r="18" spans="1:14" x14ac:dyDescent="0.2">
      <c r="A18" s="1" t="s">
        <v>14</v>
      </c>
      <c r="B18" s="5">
        <v>49</v>
      </c>
      <c r="C18" s="1">
        <v>3</v>
      </c>
      <c r="D18" s="5">
        <f>60+41.8</f>
        <v>101.8</v>
      </c>
      <c r="F18" s="1" t="s">
        <v>14</v>
      </c>
      <c r="G18" s="1">
        <v>55</v>
      </c>
      <c r="H18" s="1">
        <v>3</v>
      </c>
      <c r="I18" s="5">
        <f>180+14.6</f>
        <v>194.6</v>
      </c>
      <c r="K18" s="1" t="s">
        <v>14</v>
      </c>
      <c r="L18" s="1">
        <v>62</v>
      </c>
      <c r="M18">
        <v>2</v>
      </c>
      <c r="N18" s="5">
        <v>47.1</v>
      </c>
    </row>
    <row r="19" spans="1:14" x14ac:dyDescent="0.2">
      <c r="A19" s="1" t="s">
        <v>15</v>
      </c>
      <c r="B19" s="5">
        <v>66</v>
      </c>
      <c r="C19" s="1">
        <v>3</v>
      </c>
      <c r="D19" s="5">
        <v>32.4</v>
      </c>
      <c r="F19" s="1" t="s">
        <v>15</v>
      </c>
      <c r="G19" s="1">
        <v>31</v>
      </c>
      <c r="H19" s="1">
        <v>3</v>
      </c>
      <c r="I19" s="5">
        <v>21.9</v>
      </c>
      <c r="K19" s="1" t="s">
        <v>15</v>
      </c>
      <c r="L19" s="1">
        <v>44</v>
      </c>
      <c r="M19">
        <v>2</v>
      </c>
      <c r="N19" s="5">
        <v>34.299999999999997</v>
      </c>
    </row>
    <row r="20" spans="1:14" x14ac:dyDescent="0.2">
      <c r="A20" s="1" t="s">
        <v>16</v>
      </c>
      <c r="B20" s="5">
        <v>46</v>
      </c>
      <c r="C20" s="1">
        <v>3</v>
      </c>
      <c r="D20" s="13">
        <v>58.7</v>
      </c>
      <c r="F20" s="1" t="s">
        <v>16</v>
      </c>
      <c r="G20" s="1">
        <v>68</v>
      </c>
      <c r="H20" s="1">
        <v>3</v>
      </c>
      <c r="I20" s="5">
        <v>24.4</v>
      </c>
      <c r="K20" s="1" t="s">
        <v>16</v>
      </c>
      <c r="L20" s="1">
        <v>142</v>
      </c>
      <c r="M20">
        <v>2</v>
      </c>
      <c r="N20" s="5">
        <v>128.6</v>
      </c>
    </row>
    <row r="21" spans="1:14" x14ac:dyDescent="0.2">
      <c r="A21" s="1" t="s">
        <v>12</v>
      </c>
      <c r="B21" s="1">
        <v>22</v>
      </c>
      <c r="C21" s="1">
        <v>4</v>
      </c>
      <c r="D21" s="5">
        <v>48.2</v>
      </c>
      <c r="F21" s="1" t="s">
        <v>12</v>
      </c>
      <c r="G21" s="1">
        <v>36</v>
      </c>
      <c r="H21" s="1">
        <v>4</v>
      </c>
      <c r="I21" s="5">
        <v>57</v>
      </c>
      <c r="K21" s="1" t="s">
        <v>12</v>
      </c>
      <c r="L21" s="1">
        <v>71</v>
      </c>
      <c r="M21" s="1">
        <v>2</v>
      </c>
      <c r="N21" s="5">
        <v>18.5</v>
      </c>
    </row>
    <row r="22" spans="1:14" x14ac:dyDescent="0.2">
      <c r="A22" s="1" t="s">
        <v>13</v>
      </c>
      <c r="B22" s="1">
        <v>45</v>
      </c>
      <c r="C22" s="1">
        <v>4</v>
      </c>
      <c r="D22" s="5">
        <v>102.3</v>
      </c>
      <c r="F22" s="1" t="s">
        <v>13</v>
      </c>
      <c r="G22" s="1">
        <v>21</v>
      </c>
      <c r="H22" s="1">
        <v>4</v>
      </c>
      <c r="I22" s="5">
        <v>27.9</v>
      </c>
      <c r="K22" s="1" t="s">
        <v>13</v>
      </c>
      <c r="L22" s="1">
        <v>29</v>
      </c>
      <c r="M22" s="1">
        <v>2</v>
      </c>
      <c r="N22" s="5">
        <v>25.6</v>
      </c>
    </row>
    <row r="23" spans="1:14" x14ac:dyDescent="0.2">
      <c r="A23" s="1" t="s">
        <v>14</v>
      </c>
      <c r="B23" s="1">
        <v>111</v>
      </c>
      <c r="C23" s="1">
        <v>4</v>
      </c>
      <c r="D23" s="5">
        <f>60+59</f>
        <v>119</v>
      </c>
      <c r="F23" s="1" t="s">
        <v>14</v>
      </c>
      <c r="G23" s="1">
        <v>55</v>
      </c>
      <c r="H23" s="1">
        <v>4</v>
      </c>
      <c r="I23" s="5">
        <f>60+26.3</f>
        <v>86.3</v>
      </c>
      <c r="K23" s="1" t="s">
        <v>14</v>
      </c>
      <c r="L23" s="1">
        <v>52</v>
      </c>
      <c r="M23" s="1">
        <v>2</v>
      </c>
      <c r="N23" s="5">
        <f>60+1.2</f>
        <v>61.2</v>
      </c>
    </row>
    <row r="24" spans="1:14" x14ac:dyDescent="0.2">
      <c r="A24" s="1" t="s">
        <v>15</v>
      </c>
      <c r="B24" s="1">
        <v>52</v>
      </c>
      <c r="C24" s="1">
        <v>4</v>
      </c>
      <c r="D24" s="5">
        <v>24.4</v>
      </c>
      <c r="F24" s="1" t="s">
        <v>15</v>
      </c>
      <c r="G24" s="1">
        <v>30</v>
      </c>
      <c r="H24" s="1">
        <v>4</v>
      </c>
      <c r="I24" s="5">
        <v>25.9</v>
      </c>
      <c r="K24" s="1" t="s">
        <v>15</v>
      </c>
      <c r="L24" s="1">
        <v>41</v>
      </c>
      <c r="M24" s="1">
        <v>2</v>
      </c>
      <c r="N24" s="5">
        <v>29.7</v>
      </c>
    </row>
    <row r="25" spans="1:14" x14ac:dyDescent="0.2">
      <c r="A25" s="1" t="s">
        <v>16</v>
      </c>
      <c r="B25" s="1">
        <v>46</v>
      </c>
      <c r="C25" s="1">
        <v>4</v>
      </c>
      <c r="D25" s="5">
        <v>17.2</v>
      </c>
      <c r="F25" s="1" t="s">
        <v>16</v>
      </c>
      <c r="G25" s="1">
        <v>43</v>
      </c>
      <c r="H25" s="1">
        <v>4</v>
      </c>
      <c r="I25" s="5">
        <v>20.3</v>
      </c>
      <c r="K25" s="1" t="s">
        <v>16</v>
      </c>
      <c r="L25" s="1">
        <v>48</v>
      </c>
      <c r="M25" s="1">
        <v>2</v>
      </c>
      <c r="N25" s="5">
        <v>31.1</v>
      </c>
    </row>
    <row r="26" spans="1:14" x14ac:dyDescent="0.2">
      <c r="A26" s="1" t="s">
        <v>12</v>
      </c>
      <c r="B26" s="1">
        <v>30</v>
      </c>
      <c r="C26" s="1">
        <v>5</v>
      </c>
      <c r="D26" s="5">
        <v>145</v>
      </c>
      <c r="F26" s="1" t="s">
        <v>12</v>
      </c>
      <c r="G26" s="1">
        <v>29</v>
      </c>
      <c r="H26" s="1">
        <v>5</v>
      </c>
      <c r="I26" s="5">
        <v>34.299999999999997</v>
      </c>
      <c r="K26" s="1" t="s">
        <v>12</v>
      </c>
      <c r="L26" s="5">
        <v>94</v>
      </c>
      <c r="M26">
        <v>3</v>
      </c>
      <c r="N26" s="5">
        <v>132.80000000000001</v>
      </c>
    </row>
    <row r="27" spans="1:14" x14ac:dyDescent="0.2">
      <c r="A27" s="1" t="s">
        <v>13</v>
      </c>
      <c r="B27" s="1">
        <v>51</v>
      </c>
      <c r="C27" s="1">
        <v>5</v>
      </c>
      <c r="D27" s="5">
        <v>48.6</v>
      </c>
      <c r="F27" s="1" t="s">
        <v>13</v>
      </c>
      <c r="G27" s="1">
        <v>30</v>
      </c>
      <c r="H27" s="1">
        <v>5</v>
      </c>
      <c r="I27" s="5">
        <v>25.8</v>
      </c>
      <c r="K27" s="1" t="s">
        <v>13</v>
      </c>
      <c r="L27" s="5">
        <v>43</v>
      </c>
      <c r="M27">
        <v>3</v>
      </c>
      <c r="N27" s="5">
        <v>48.2</v>
      </c>
    </row>
    <row r="28" spans="1:14" x14ac:dyDescent="0.2">
      <c r="A28" s="1" t="s">
        <v>14</v>
      </c>
      <c r="B28" s="1">
        <v>73</v>
      </c>
      <c r="C28" s="1">
        <v>5</v>
      </c>
      <c r="D28" s="5">
        <f>60+42.7</f>
        <v>102.7</v>
      </c>
      <c r="F28" s="1" t="s">
        <v>14</v>
      </c>
      <c r="G28" s="1">
        <v>49</v>
      </c>
      <c r="H28" s="1">
        <v>5</v>
      </c>
      <c r="I28" s="5">
        <f>60+36.2</f>
        <v>96.2</v>
      </c>
      <c r="K28" s="1" t="s">
        <v>14</v>
      </c>
      <c r="L28" s="5">
        <v>49</v>
      </c>
      <c r="M28">
        <v>3</v>
      </c>
      <c r="N28" s="5">
        <f>60+41.8</f>
        <v>101.8</v>
      </c>
    </row>
    <row r="29" spans="1:14" x14ac:dyDescent="0.2">
      <c r="A29" s="1" t="s">
        <v>15</v>
      </c>
      <c r="B29" s="1">
        <v>84</v>
      </c>
      <c r="C29" s="1">
        <v>5</v>
      </c>
      <c r="D29" s="5">
        <v>27</v>
      </c>
      <c r="F29" s="1" t="s">
        <v>15</v>
      </c>
      <c r="G29" s="1">
        <v>36</v>
      </c>
      <c r="H29" s="1">
        <v>5</v>
      </c>
      <c r="I29" s="5">
        <v>38.299999999999997</v>
      </c>
      <c r="K29" s="1" t="s">
        <v>15</v>
      </c>
      <c r="L29" s="5">
        <v>66</v>
      </c>
      <c r="M29">
        <v>3</v>
      </c>
      <c r="N29" s="5">
        <v>32.4</v>
      </c>
    </row>
    <row r="30" spans="1:14" x14ac:dyDescent="0.2">
      <c r="A30" s="1" t="s">
        <v>16</v>
      </c>
      <c r="B30" s="1">
        <v>43</v>
      </c>
      <c r="C30" s="1">
        <v>5</v>
      </c>
      <c r="D30" s="5">
        <v>34.299999999999997</v>
      </c>
      <c r="F30" s="1" t="s">
        <v>16</v>
      </c>
      <c r="G30" s="1">
        <v>52</v>
      </c>
      <c r="H30" s="1">
        <v>5</v>
      </c>
      <c r="I30" s="5">
        <v>20.399999999999999</v>
      </c>
      <c r="K30" s="1" t="s">
        <v>16</v>
      </c>
      <c r="L30" s="5">
        <v>46</v>
      </c>
      <c r="M30">
        <v>3</v>
      </c>
      <c r="N30" s="13">
        <v>58.7</v>
      </c>
    </row>
    <row r="31" spans="1:14" x14ac:dyDescent="0.2">
      <c r="K31" s="1" t="s">
        <v>12</v>
      </c>
      <c r="L31" s="1">
        <v>52</v>
      </c>
      <c r="M31" s="1">
        <v>3</v>
      </c>
      <c r="N31" s="5">
        <v>68.8</v>
      </c>
    </row>
    <row r="32" spans="1:14" x14ac:dyDescent="0.2">
      <c r="K32" s="1" t="s">
        <v>13</v>
      </c>
      <c r="L32" s="1">
        <v>21</v>
      </c>
      <c r="M32" s="1">
        <v>3</v>
      </c>
      <c r="N32" s="5">
        <v>36.200000000000003</v>
      </c>
    </row>
    <row r="33" spans="11:14" x14ac:dyDescent="0.2">
      <c r="K33" s="1" t="s">
        <v>14</v>
      </c>
      <c r="L33" s="1">
        <v>55</v>
      </c>
      <c r="M33" s="1">
        <v>3</v>
      </c>
      <c r="N33" s="5">
        <f>180+14.6</f>
        <v>194.6</v>
      </c>
    </row>
    <row r="34" spans="11:14" x14ac:dyDescent="0.2">
      <c r="K34" s="1" t="s">
        <v>15</v>
      </c>
      <c r="L34" s="1">
        <v>31</v>
      </c>
      <c r="M34" s="1">
        <v>3</v>
      </c>
      <c r="N34" s="5">
        <v>21.9</v>
      </c>
    </row>
    <row r="35" spans="11:14" x14ac:dyDescent="0.2">
      <c r="K35" s="1" t="s">
        <v>16</v>
      </c>
      <c r="L35" s="1">
        <v>68</v>
      </c>
      <c r="M35" s="1">
        <v>3</v>
      </c>
      <c r="N35" s="5">
        <v>24.4</v>
      </c>
    </row>
    <row r="36" spans="11:14" x14ac:dyDescent="0.2">
      <c r="K36" s="1" t="s">
        <v>12</v>
      </c>
      <c r="L36" s="1">
        <v>22</v>
      </c>
      <c r="M36">
        <v>4</v>
      </c>
      <c r="N36" s="5">
        <v>48.2</v>
      </c>
    </row>
    <row r="37" spans="11:14" x14ac:dyDescent="0.2">
      <c r="K37" s="1" t="s">
        <v>13</v>
      </c>
      <c r="L37" s="1">
        <v>45</v>
      </c>
      <c r="M37">
        <v>4</v>
      </c>
      <c r="N37" s="5">
        <v>102.3</v>
      </c>
    </row>
    <row r="38" spans="11:14" x14ac:dyDescent="0.2">
      <c r="K38" s="1" t="s">
        <v>14</v>
      </c>
      <c r="L38" s="1">
        <v>111</v>
      </c>
      <c r="M38">
        <v>4</v>
      </c>
      <c r="N38" s="5">
        <f>60+59</f>
        <v>119</v>
      </c>
    </row>
    <row r="39" spans="11:14" x14ac:dyDescent="0.2">
      <c r="K39" s="1" t="s">
        <v>15</v>
      </c>
      <c r="L39" s="1">
        <v>52</v>
      </c>
      <c r="M39">
        <v>4</v>
      </c>
      <c r="N39" s="5">
        <v>24.4</v>
      </c>
    </row>
    <row r="40" spans="11:14" x14ac:dyDescent="0.2">
      <c r="K40" s="1" t="s">
        <v>16</v>
      </c>
      <c r="L40" s="1">
        <v>46</v>
      </c>
      <c r="M40">
        <v>4</v>
      </c>
      <c r="N40" s="5">
        <v>17.2</v>
      </c>
    </row>
    <row r="41" spans="11:14" x14ac:dyDescent="0.2">
      <c r="K41" s="1" t="s">
        <v>12</v>
      </c>
      <c r="L41" s="1">
        <v>36</v>
      </c>
      <c r="M41" s="1">
        <v>4</v>
      </c>
      <c r="N41" s="5">
        <v>57</v>
      </c>
    </row>
    <row r="42" spans="11:14" x14ac:dyDescent="0.2">
      <c r="K42" s="1" t="s">
        <v>13</v>
      </c>
      <c r="L42" s="1">
        <v>21</v>
      </c>
      <c r="M42" s="1">
        <v>4</v>
      </c>
      <c r="N42" s="5">
        <v>27.9</v>
      </c>
    </row>
    <row r="43" spans="11:14" x14ac:dyDescent="0.2">
      <c r="K43" s="1" t="s">
        <v>14</v>
      </c>
      <c r="L43" s="1">
        <v>55</v>
      </c>
      <c r="M43" s="1">
        <v>4</v>
      </c>
      <c r="N43" s="5">
        <f>60+26.3</f>
        <v>86.3</v>
      </c>
    </row>
    <row r="44" spans="11:14" x14ac:dyDescent="0.2">
      <c r="K44" s="1" t="s">
        <v>15</v>
      </c>
      <c r="L44" s="1">
        <v>30</v>
      </c>
      <c r="M44" s="1">
        <v>4</v>
      </c>
      <c r="N44" s="5">
        <v>25.9</v>
      </c>
    </row>
    <row r="45" spans="11:14" x14ac:dyDescent="0.2">
      <c r="K45" s="1" t="s">
        <v>16</v>
      </c>
      <c r="L45" s="1">
        <v>43</v>
      </c>
      <c r="M45" s="1">
        <v>4</v>
      </c>
      <c r="N45" s="5">
        <v>20.3</v>
      </c>
    </row>
    <row r="46" spans="11:14" x14ac:dyDescent="0.2">
      <c r="K46" s="1" t="s">
        <v>12</v>
      </c>
      <c r="L46" s="1">
        <v>30</v>
      </c>
      <c r="M46">
        <v>5</v>
      </c>
      <c r="N46" s="5">
        <v>145</v>
      </c>
    </row>
    <row r="47" spans="11:14" x14ac:dyDescent="0.2">
      <c r="K47" s="1" t="s">
        <v>13</v>
      </c>
      <c r="L47" s="1">
        <v>51</v>
      </c>
      <c r="M47">
        <v>5</v>
      </c>
      <c r="N47" s="5">
        <v>48.6</v>
      </c>
    </row>
    <row r="48" spans="11:14" x14ac:dyDescent="0.2">
      <c r="K48" s="1" t="s">
        <v>14</v>
      </c>
      <c r="L48" s="1">
        <v>73</v>
      </c>
      <c r="M48">
        <v>5</v>
      </c>
      <c r="N48" s="5">
        <f>60+42.7</f>
        <v>102.7</v>
      </c>
    </row>
    <row r="49" spans="11:14" x14ac:dyDescent="0.2">
      <c r="K49" s="1" t="s">
        <v>15</v>
      </c>
      <c r="L49" s="1">
        <v>84</v>
      </c>
      <c r="M49">
        <v>5</v>
      </c>
      <c r="N49" s="5">
        <v>27</v>
      </c>
    </row>
    <row r="50" spans="11:14" x14ac:dyDescent="0.2">
      <c r="K50" s="1" t="s">
        <v>16</v>
      </c>
      <c r="L50" s="1">
        <v>43</v>
      </c>
      <c r="M50">
        <v>5</v>
      </c>
      <c r="N50" s="5">
        <v>34.299999999999997</v>
      </c>
    </row>
    <row r="51" spans="11:14" x14ac:dyDescent="0.2">
      <c r="K51" s="1" t="s">
        <v>12</v>
      </c>
      <c r="L51" s="1">
        <v>29</v>
      </c>
      <c r="M51" s="1">
        <v>5</v>
      </c>
      <c r="N51" s="5">
        <v>34.299999999999997</v>
      </c>
    </row>
    <row r="52" spans="11:14" x14ac:dyDescent="0.2">
      <c r="K52" s="1" t="s">
        <v>13</v>
      </c>
      <c r="L52" s="1">
        <v>30</v>
      </c>
      <c r="M52" s="1">
        <v>5</v>
      </c>
      <c r="N52" s="5">
        <v>25.8</v>
      </c>
    </row>
    <row r="53" spans="11:14" x14ac:dyDescent="0.2">
      <c r="K53" s="1" t="s">
        <v>14</v>
      </c>
      <c r="L53" s="1">
        <v>49</v>
      </c>
      <c r="M53" s="1">
        <v>5</v>
      </c>
      <c r="N53" s="5">
        <f>60+36.2</f>
        <v>96.2</v>
      </c>
    </row>
    <row r="54" spans="11:14" x14ac:dyDescent="0.2">
      <c r="K54" s="1" t="s">
        <v>15</v>
      </c>
      <c r="L54" s="1">
        <v>36</v>
      </c>
      <c r="M54" s="1">
        <v>5</v>
      </c>
      <c r="N54" s="5">
        <v>38.299999999999997</v>
      </c>
    </row>
    <row r="55" spans="11:14" x14ac:dyDescent="0.2">
      <c r="K55" s="1" t="s">
        <v>16</v>
      </c>
      <c r="L55" s="1">
        <v>52</v>
      </c>
      <c r="M55" s="1">
        <v>5</v>
      </c>
      <c r="N55" s="5">
        <v>20.399999999999999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2021-04-01T21:00:28Z</dcterms:created>
  <dcterms:modified xsi:type="dcterms:W3CDTF">2021-04-16T23:22:21Z</dcterms:modified>
</cp:coreProperties>
</file>